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eghanwilliams/Downloads/"/>
    </mc:Choice>
  </mc:AlternateContent>
  <xr:revisionPtr revIDLastSave="0" documentId="8_{1496850F-BD6F-634A-8632-1E23231BEEF7}" xr6:coauthVersionLast="47" xr6:coauthVersionMax="47" xr10:uidLastSave="{00000000-0000-0000-0000-000000000000}"/>
  <bookViews>
    <workbookView xWindow="0" yWindow="600" windowWidth="24440" windowHeight="14780" tabRatio="500" activeTab="1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7" i="4" l="1"/>
  <c r="C66" i="4"/>
  <c r="C56" i="4"/>
  <c r="C26" i="4"/>
  <c r="C25" i="4"/>
  <c r="C22" i="4"/>
  <c r="C20" i="4"/>
  <c r="C14" i="4"/>
  <c r="C55" i="4" s="1"/>
  <c r="C13" i="4"/>
  <c r="C57" i="4" s="1"/>
  <c r="C12" i="4"/>
  <c r="C9" i="4"/>
  <c r="C28" i="3"/>
  <c r="C20" i="3"/>
  <c r="C13" i="3"/>
  <c r="C14" i="3" s="1"/>
  <c r="C30" i="3" s="1"/>
  <c r="C19" i="2"/>
  <c r="D19" i="2" s="1"/>
  <c r="D18" i="2"/>
  <c r="C17" i="2"/>
  <c r="D17" i="2" s="1"/>
  <c r="D16" i="2"/>
  <c r="C15" i="2"/>
  <c r="D13" i="2"/>
  <c r="D12" i="2"/>
  <c r="C12" i="2"/>
  <c r="D10" i="2"/>
  <c r="D9" i="2"/>
  <c r="D8" i="2"/>
  <c r="C6" i="2"/>
  <c r="D6" i="2" s="1"/>
  <c r="D5" i="2"/>
  <c r="D4" i="2"/>
  <c r="H18" i="1"/>
  <c r="C16" i="4" s="1"/>
  <c r="C35" i="4" s="1"/>
  <c r="G18" i="1"/>
  <c r="C29" i="4" s="1"/>
  <c r="D14" i="1"/>
  <c r="C14" i="1"/>
  <c r="D9" i="1"/>
  <c r="C9" i="1"/>
  <c r="C27" i="4" s="1"/>
  <c r="H8" i="1"/>
  <c r="H13" i="1" s="1"/>
  <c r="H20" i="1" s="1"/>
  <c r="D18" i="1" s="1"/>
  <c r="G8" i="1"/>
  <c r="G13" i="1" s="1"/>
  <c r="G20" i="1" l="1"/>
  <c r="C18" i="1" s="1"/>
  <c r="C30" i="4"/>
  <c r="D20" i="1"/>
  <c r="C15" i="4" s="1"/>
  <c r="C24" i="4"/>
  <c r="C75" i="4" s="1"/>
  <c r="C48" i="4"/>
  <c r="C58" i="4"/>
  <c r="C68" i="4"/>
  <c r="C20" i="1"/>
  <c r="D15" i="2"/>
  <c r="C59" i="4"/>
  <c r="C23" i="4"/>
  <c r="C19" i="4"/>
  <c r="C74" i="4"/>
  <c r="C21" i="4"/>
  <c r="C64" i="4" s="1"/>
  <c r="C33" i="4" l="1"/>
  <c r="C51" i="4" s="1"/>
  <c r="C42" i="4"/>
  <c r="C21" i="1"/>
  <c r="C28" i="4"/>
  <c r="C63" i="4"/>
  <c r="C41" i="4"/>
  <c r="C43" i="4"/>
  <c r="C60" i="4"/>
  <c r="C50" i="4"/>
  <c r="C47" i="4"/>
  <c r="C46" i="4"/>
  <c r="C36" i="4"/>
  <c r="C73" i="4"/>
  <c r="C54" i="4"/>
  <c r="C78" i="4" s="1"/>
  <c r="C69" i="4" l="1"/>
  <c r="C82" i="4" s="1"/>
  <c r="C72" i="4"/>
  <c r="C65" i="4"/>
  <c r="C34" i="4"/>
  <c r="C49" i="4" s="1"/>
</calcChain>
</file>

<file path=xl/sharedStrings.xml><?xml version="1.0" encoding="utf-8"?>
<sst xmlns="http://schemas.openxmlformats.org/spreadsheetml/2006/main" count="309" uniqueCount="277">
  <si>
    <t>Balance Sheet — Microsoft Corporation (MSFT)</t>
  </si>
  <si>
    <t>ASSETS</t>
  </si>
  <si>
    <t>FY2024 (Jun 30, 2024)</t>
  </si>
  <si>
    <t>FY2023 (Jun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</si>
  <si>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</si>
  <si>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</si>
  <si>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</si>
  <si>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</si>
  <si>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</si>
  <si>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</si>
  <si>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</si>
  <si>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</si>
  <si>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</si>
  <si>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</si>
  <si>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</si>
  <si>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</si>
  <si>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</si>
  <si>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</si>
  <si>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</si>
  <si>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</si>
  <si>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</si>
  <si>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</si>
  <si>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</si>
  <si>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</si>
  <si>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Stockholders' Equity</t>
  </si>
  <si>
    <t>Other Assets</t>
  </si>
  <si>
    <t xml:space="preserve">   Common stock and paid-in capital</t>
  </si>
  <si>
    <t xml:space="preserve">   Intangible assets (goodwill &amp; intangibles)</t>
  </si>
  <si>
    <t xml:space="preserve">   Retained earnings (incl. AOCI)</t>
  </si>
  <si>
    <t xml:space="preserve">   Other assets</t>
  </si>
  <si>
    <t xml:space="preserve">   Total stockholders' equity</t>
  </si>
  <si>
    <t>Total Assets</t>
  </si>
  <si>
    <t>Total Liabilities + Equity</t>
  </si>
  <si>
    <t>Balance Check (TA − TL&amp;E)</t>
  </si>
  <si>
    <t>Source: Microsoft 10-K FY2024, SEC EDGAR</t>
  </si>
  <si>
    <t>Income Statement — Microsoft Corporation (MSFT)</t>
  </si>
  <si>
    <t>Line Item</t>
  </si>
  <si>
    <t>% of Sales</t>
  </si>
  <si>
    <t>Net sales</t>
  </si>
  <si>
    <t>less Cost of goods sold</t>
  </si>
  <si>
    <t>less Selling, general &amp; administrative</t>
  </si>
  <si>
    <t>less Depreciation &amp; amortization</t>
  </si>
  <si>
    <t>Earnings before interest &amp; taxes (EBIT)</t>
  </si>
  <si>
    <t>plus Other income (expense), net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</si>
  <si>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</si>
  <si>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</si>
  <si>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</si>
  <si>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</si>
  <si>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</si>
  <si>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</si>
  <si>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</si>
  <si>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Microsoft Corporation (MSFT)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</si>
  <si>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</si>
  <si>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</si>
  <si>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</si>
  <si>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</si>
  <si>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</si>
  <si>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</si>
  <si>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</si>
  <si>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</si>
  <si>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</si>
  <si>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</si>
  <si>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</si>
  <si>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</si>
  <si>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</si>
  <si>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</si>
  <si>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</si>
  <si>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Acquisitions of companies (net)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</si>
  <si>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</si>
  <si>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</si>
  <si>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</si>
  <si>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</si>
  <si>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</si>
  <si>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</si>
  <si>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</si>
  <si>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</si>
  <si>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</si>
  <si>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</si>
  <si>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Microsoft Corporation (MSFT)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</si>
  <si>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</si>
  <si>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</si>
  <si>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</si>
  <si>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</si>
  <si>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</si>
  <si>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</si>
  <si>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</si>
  <si>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</si>
  <si>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</si>
  <si>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</si>
  <si>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</si>
  <si>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</si>
  <si>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</si>
  <si>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</si>
  <si>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</si>
  <si>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</si>
  <si>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</si>
  <si>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</si>
  <si>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</si>
  <si>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</si>
  <si>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</si>
  <si>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</si>
  <si>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</si>
  <si>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</si>
  <si>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</si>
  <si>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</si>
  <si>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</si>
  <si>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</si>
  <si>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</si>
  <si>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</si>
  <si>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</si>
  <si>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</si>
  <si>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</si>
  <si>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</si>
  <si>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</si>
  <si>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</si>
  <si>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</si>
  <si>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</si>
  <si>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</si>
  <si>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</si>
  <si>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</si>
  <si>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</si>
  <si>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</si>
  <si>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</si>
  <si>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</si>
  <si>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</si>
  <si>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</si>
  <si>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</si>
  <si>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</si>
  <si>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</si>
  <si>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</si>
  <si>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</si>
  <si>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</si>
  <si>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</si>
  <si>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</si>
  <si>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</si>
  <si>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</si>
  <si>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</si>
  <si>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</si>
  <si>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</si>
  <si>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</si>
  <si>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</si>
  <si>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</si>
  <si>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</si>
  <si>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</si>
  <si>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</si>
  <si>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</si>
  <si>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</si>
  <si>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</si>
  <si>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</si>
  <si>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</si>
  <si>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</si>
  <si>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</si>
  <si>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</si>
  <si>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</si>
  <si>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</si>
  <si>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</si>
  <si>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</si>
  <si>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</si>
  <si>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</si>
  <si>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</si>
  <si>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</si>
  <si>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</si>
  <si>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</si>
  <si>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</si>
  <si>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</si>
  <si>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</si>
  <si>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(Filled In)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</si>
  <si>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</si>
  <si>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</si>
  <si>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</si>
  <si>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</si>
  <si>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</si>
  <si>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</si>
  <si>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</si>
  <si>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</si>
  <si>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</si>
  <si>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</si>
  <si>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</si>
  <si>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</si>
  <si>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</si>
  <si>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</si>
  <si>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</si>
  <si>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</si>
  <si>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</si>
  <si>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</si>
  <si>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</si>
  <si>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</si>
  <si>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</si>
  <si>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</si>
  <si>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</si>
  <si>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</si>
  <si>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</si>
  <si>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</si>
  <si>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</si>
  <si>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</si>
  <si>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</si>
  <si>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</si>
  <si>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</si>
  <si>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</si>
  <si>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</si>
  <si>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</si>
  <si>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</si>
  <si>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</si>
  <si>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</si>
  <si>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</si>
  <si>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</si>
  <si>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</si>
  <si>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</si>
  <si>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</si>
  <si>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</si>
  <si>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</si>
  <si>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</si>
  <si>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</si>
  <si>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</si>
  <si>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</si>
  <si>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</si>
  <si>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</si>
  <si>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</si>
  <si>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</si>
  <si>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</si>
  <si>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</si>
  <si>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</si>
  <si>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</si>
  <si>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</si>
  <si>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</si>
  <si>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</si>
  <si>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</si>
  <si>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</si>
  <si>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BAL_receivables_2024)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</si>
  <si>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</si>
  <si>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</si>
  <si>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</si>
  <si>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</si>
  <si>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</si>
  <si>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</si>
  <si>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</si>
  <si>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</si>
  <si>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</si>
  <si>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</si>
  <si>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</si>
  <si>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</si>
  <si>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</si>
  <si>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</si>
  <si>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</si>
  <si>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</si>
  <si>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Gold = Completed ratio outputs</t>
  </si>
  <si>
    <t>Notes &amp; Assumptions — Microsoft Corporation (MSFT)</t>
  </si>
  <si>
    <t>Company:</t>
  </si>
  <si>
    <t>Microsoft Corporation</t>
  </si>
  <si>
    <t>Ticker:</t>
  </si>
  <si>
    <t>MSFT</t>
  </si>
  <si>
    <t>Industry:</t>
  </si>
  <si>
    <t>Technology – Cloud Computing, Software &amp; AI</t>
  </si>
  <si>
    <t>Fiscal Year (current):</t>
  </si>
  <si>
    <t>Fiscal Year (prior):</t>
  </si>
  <si>
    <t>Data Source:</t>
  </si>
  <si>
    <t>Microsoft 10-K FY2024, SEC EDGAR</t>
  </si>
  <si>
    <t>Units:</t>
  </si>
  <si>
    <t>All figures in millions of US dollars unless otherwise noted.</t>
  </si>
  <si>
    <t>Tax Rate:</t>
  </si>
  <si>
    <t>18.2% — effective rate (Taxes $19,651M ÷ EBT $107,787M); adjust to 21% statutory if preferred</t>
  </si>
  <si>
    <t>Cost of Capital:</t>
  </si>
  <si>
    <t>9.0% — estimated WACC; students may refine using CAPM + class methodology</t>
  </si>
  <si>
    <t>Share Price:</t>
  </si>
  <si>
    <t>$446.34 — closing price on Jun 28, 2024 (fiscal year end)</t>
  </si>
  <si>
    <t>Shares Outstanding:</t>
  </si>
  <si>
    <t>7,434M shares (as of Jun 30, 2024)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</si>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</sst>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0.0%;\(0.0%\);\-"/>
    <numFmt numFmtId="167" formatCode="#,##0.000"/>
    <numFmt numFmtId="168" formatCode="0.00\x"/>
    <numFmt numFmtId="169" formatCode="0.0"/>
  </numFmts>
  <fonts count="11" x14ac:knownFonts="1">
    <font>
      <sz val="11"/>
      <color theme="1"/>
      <name val="Calibri"/>
      <family val="2"/>
      <charset val="1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999999"/>
      <name val="Calibri"/>
      <family val="2"/>
    </font>
    <font>
      <sz val="11"/>
      <color rgb="FF1F3864"/>
      <name val="Calibri"/>
      <family val="2"/>
    </font>
    <font>
      <sz val="11"/>
      <color rgb="FF444444"/>
      <name val="Calibri"/>
      <family val="2"/>
    </font>
    <font>
      <sz val="11"/>
      <color rgb="FF777777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4" fillId="3" borderId="0" xfId="0" applyFont="1" applyFill="1"/>
    <xf numFmtId="164" fontId="5" fillId="5" borderId="0" xfId="0" applyNumberFormat="1" applyFont="1" applyFill="1"/>
    <xf numFmtId="0" fontId="6" fillId="6" borderId="0" xfId="0" applyFont="1" applyFill="1"/>
    <xf numFmtId="3" fontId="4" fillId="7" borderId="0" xfId="0" applyNumberFormat="1" applyFont="1" applyFill="1"/>
    <xf numFmtId="3" fontId="1" fillId="7" borderId="0" xfId="0" applyNumberFormat="1" applyFont="1" applyFill="1"/>
    <xf numFmtId="3" fontId="5" fillId="7" borderId="0" xfId="0" applyNumberFormat="1" applyFont="1" applyFill="1"/>
    <xf numFmtId="0" fontId="1" fillId="2" borderId="0" xfId="0" applyFont="1" applyFill="1"/>
    <xf numFmtId="3" fontId="2" fillId="2" borderId="0" xfId="0" applyNumberFormat="1" applyFont="1" applyFill="1"/>
    <xf numFmtId="0" fontId="7" fillId="0" borderId="0" xfId="0" applyFont="1"/>
    <xf numFmtId="3" fontId="7" fillId="0" borderId="0" xfId="0" applyNumberFormat="1" applyFont="1"/>
    <xf numFmtId="0" fontId="3" fillId="0" borderId="0" xfId="0" applyFont="1"/>
    <xf numFmtId="165" fontId="4" fillId="8" borderId="0" xfId="0" applyNumberFormat="1" applyFont="1" applyFill="1"/>
    <xf numFmtId="166" fontId="4" fillId="8" borderId="0" xfId="0" applyNumberFormat="1" applyFont="1" applyFill="1"/>
    <xf numFmtId="164" fontId="6" fillId="7" borderId="0" xfId="0" applyNumberFormat="1" applyFont="1" applyFill="1"/>
    <xf numFmtId="164" fontId="5" fillId="9" borderId="0" xfId="0" applyNumberFormat="1" applyFont="1" applyFill="1"/>
    <xf numFmtId="0" fontId="8" fillId="3" borderId="0" xfId="0" applyFont="1" applyFill="1"/>
    <xf numFmtId="0" fontId="9" fillId="3" borderId="0" xfId="0" applyFont="1" applyFill="1"/>
    <xf numFmtId="4" fontId="5" fillId="9" borderId="0" xfId="0" applyNumberFormat="1" applyFont="1" applyFill="1"/>
    <xf numFmtId="4" fontId="4" fillId="7" borderId="0" xfId="0" applyNumberFormat="1" applyFont="1" applyFill="1"/>
    <xf numFmtId="167" fontId="4" fillId="7" borderId="0" xfId="0" applyNumberFormat="1" applyFont="1" applyFill="1"/>
    <xf numFmtId="4" fontId="4" fillId="10" borderId="0" xfId="0" applyNumberFormat="1" applyFont="1" applyFill="1"/>
    <xf numFmtId="168" fontId="4" fillId="10" borderId="0" xfId="0" applyNumberFormat="1" applyFont="1" applyFill="1"/>
    <xf numFmtId="165" fontId="4" fillId="10" borderId="0" xfId="0" applyNumberFormat="1" applyFont="1" applyFill="1"/>
    <xf numFmtId="169" fontId="4" fillId="10" borderId="0" xfId="0" applyNumberFormat="1" applyFont="1" applyFill="1"/>
    <xf numFmtId="0" fontId="4" fillId="10" borderId="0" xfId="0" applyFont="1" applyFill="1"/>
    <xf numFmtId="0" fontId="10" fillId="3" borderId="0" xfId="0" applyFont="1" applyFill="1"/>
    <xf numFmtId="0" fontId="6" fillId="0" borderId="0" xfId="0" applyFont="1"/>
    <xf numFmtId="0" fontId="0" fillId="9" borderId="0" xfId="0" applyFill="1"/>
    <xf numFmtId="0" fontId="0" fillId="5" borderId="0" xfId="0" applyFill="1"/>
    <xf numFmtId="0" fontId="0" fillId="10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77777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2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36" customWidth="1"/>
    <col min="3" max="3" width="16" customWidth="1"/>
    <col min="5" max="5" width="2" customWidth="1"/>
    <col min="6" max="6" width="36" customWidth="1"/>
    <col min="7" max="8" width="16" customWidth="1"/>
  </cols>
  <sheetData>
    <row r="1" spans="2:8" x14ac:dyDescent="0.2">
      <c r="B1" s="1" t="s">
        <v>0</v>
      </c>
    </row>
    <row r="2" spans="2:8" x14ac:dyDescent="0.2">
      <c r="B2" s="2" t="s">
        <v>1</v>
      </c>
      <c r="C2" s="2" t="s">
        <v>2</v>
      </c>
      <c r="D2" s="2" t="s">
        <v>3</v>
      </c>
      <c r="F2" s="2" t="s">
        <v>4</v>
      </c>
      <c r="G2" s="2" t="s">
        <v>2</v>
      </c>
      <c r="H2" s="2" t="s">
        <v>3</v>
      </c>
    </row>
    <row r="3" spans="2:8" x14ac:dyDescent="0.2">
      <c r="B3" s="3" t="s">
        <v>5</v>
      </c>
      <c r="F3" s="3" t="s">
        <v>5</v>
      </c>
    </row>
    <row r="4" spans="2:8" x14ac:dyDescent="0.2">
      <c r="B4" s="4" t="s">
        <v>6</v>
      </c>
      <c r="F4" s="4" t="s">
        <v>7</v>
      </c>
    </row>
    <row r="5" spans="2:8" x14ac:dyDescent="0.2">
      <c r="B5" s="5" t="s">
        <v>8</v>
      </c>
      <c r="C5" s="6">
        <v>75543</v>
      </c>
      <c r="D5" s="6">
        <v>111262</v>
      </c>
      <c r="F5" s="5" t="s">
        <v>9</v>
      </c>
      <c r="G5" s="6">
        <v>8942</v>
      </c>
      <c r="H5" s="6">
        <v>5247</v>
      </c>
    </row>
    <row r="6" spans="2:8" x14ac:dyDescent="0.2">
      <c r="B6" s="5" t="s">
        <v>10</v>
      </c>
      <c r="C6" s="6">
        <v>56924</v>
      </c>
      <c r="D6" s="6">
        <v>48688</v>
      </c>
      <c r="F6" s="5" t="s">
        <v>11</v>
      </c>
      <c r="G6" s="6">
        <v>21996</v>
      </c>
      <c r="H6" s="6">
        <v>18095</v>
      </c>
    </row>
    <row r="7" spans="2:8" x14ac:dyDescent="0.2">
      <c r="B7" s="5" t="s">
        <v>12</v>
      </c>
      <c r="C7" s="6">
        <v>1246</v>
      </c>
      <c r="D7" s="6">
        <v>2500</v>
      </c>
      <c r="F7" s="5" t="s">
        <v>13</v>
      </c>
      <c r="G7" s="6">
        <v>94348</v>
      </c>
      <c r="H7" s="6">
        <v>80807</v>
      </c>
    </row>
    <row r="8" spans="2:8" x14ac:dyDescent="0.2">
      <c r="B8" s="5" t="s">
        <v>14</v>
      </c>
      <c r="C8" s="6">
        <v>26021</v>
      </c>
      <c r="D8" s="6">
        <v>21807</v>
      </c>
      <c r="F8" s="7" t="s">
        <v>15</v>
      </c>
      <c r="G8" s="8">
        <f>SUM(G5:G7)</f>
        <v>125286</v>
      </c>
      <c r="H8" s="8">
        <f>SUM(H5:H7)</f>
        <v>104149</v>
      </c>
    </row>
    <row r="9" spans="2:8" x14ac:dyDescent="0.2">
      <c r="B9" s="7" t="s">
        <v>16</v>
      </c>
      <c r="C9" s="9">
        <f>SUM(C5:C8)</f>
        <v>159734</v>
      </c>
      <c r="D9" s="9">
        <f>SUM(D5:D8)</f>
        <v>184257</v>
      </c>
    </row>
    <row r="10" spans="2:8" x14ac:dyDescent="0.2">
      <c r="F10" s="5" t="s">
        <v>17</v>
      </c>
      <c r="G10" s="6">
        <v>42688</v>
      </c>
      <c r="H10" s="6">
        <v>41990</v>
      </c>
    </row>
    <row r="11" spans="2:8" x14ac:dyDescent="0.2">
      <c r="B11" s="4" t="s">
        <v>18</v>
      </c>
      <c r="F11" s="5" t="s">
        <v>19</v>
      </c>
      <c r="G11" s="6">
        <v>75712</v>
      </c>
      <c r="H11" s="6">
        <v>59614</v>
      </c>
    </row>
    <row r="12" spans="2:8" x14ac:dyDescent="0.2">
      <c r="B12" s="5" t="s">
        <v>20</v>
      </c>
      <c r="C12" s="6">
        <v>212012</v>
      </c>
      <c r="D12" s="6">
        <v>163892</v>
      </c>
    </row>
    <row r="13" spans="2:8" x14ac:dyDescent="0.2">
      <c r="B13" s="5" t="s">
        <v>21</v>
      </c>
      <c r="C13" s="6">
        <v>76421</v>
      </c>
      <c r="D13" s="6">
        <v>68251</v>
      </c>
      <c r="F13" s="7" t="s">
        <v>22</v>
      </c>
      <c r="G13" s="8">
        <f>G8+G10+G11</f>
        <v>243686</v>
      </c>
      <c r="H13" s="8">
        <f>H8+H10+H11</f>
        <v>205753</v>
      </c>
    </row>
    <row r="14" spans="2:8" x14ac:dyDescent="0.2">
      <c r="B14" s="7" t="s">
        <v>23</v>
      </c>
      <c r="C14" s="9">
        <f>C12-C13</f>
        <v>135591</v>
      </c>
      <c r="D14" s="9">
        <f>D12-D13</f>
        <v>95641</v>
      </c>
    </row>
    <row r="15" spans="2:8" x14ac:dyDescent="0.2">
      <c r="F15" s="4" t="s">
        <v>24</v>
      </c>
    </row>
    <row r="16" spans="2:8" x14ac:dyDescent="0.2">
      <c r="B16" s="4" t="s">
        <v>25</v>
      </c>
      <c r="F16" s="5" t="s">
        <v>26</v>
      </c>
      <c r="G16" s="6">
        <v>100923</v>
      </c>
      <c r="H16" s="6">
        <v>93718</v>
      </c>
    </row>
    <row r="17" spans="2:8" x14ac:dyDescent="0.2">
      <c r="B17" s="5" t="s">
        <v>27</v>
      </c>
      <c r="C17" s="6">
        <v>146817</v>
      </c>
      <c r="D17" s="6">
        <v>77252</v>
      </c>
      <c r="F17" s="5" t="s">
        <v>28</v>
      </c>
      <c r="G17" s="6">
        <v>167554</v>
      </c>
      <c r="H17" s="6">
        <v>112505</v>
      </c>
    </row>
    <row r="18" spans="2:8" x14ac:dyDescent="0.2">
      <c r="B18" s="5" t="s">
        <v>29</v>
      </c>
      <c r="C18" s="10">
        <f>G20-C9-C14-C17</f>
        <v>70021</v>
      </c>
      <c r="D18" s="10">
        <f>H20-D9-D14-D17</f>
        <v>54826</v>
      </c>
      <c r="F18" s="7" t="s">
        <v>30</v>
      </c>
      <c r="G18" s="8">
        <f>G16+G17</f>
        <v>268477</v>
      </c>
      <c r="H18" s="8">
        <f>H16+H17</f>
        <v>206223</v>
      </c>
    </row>
    <row r="20" spans="2:8" x14ac:dyDescent="0.2">
      <c r="B20" s="11" t="s">
        <v>31</v>
      </c>
      <c r="C20" s="12">
        <f>C9+C14+C17+C18</f>
        <v>512163</v>
      </c>
      <c r="D20" s="12">
        <f>D9+D14+D17+D18</f>
        <v>411976</v>
      </c>
      <c r="F20" s="11" t="s">
        <v>32</v>
      </c>
      <c r="G20" s="12">
        <f>G13+G18</f>
        <v>512163</v>
      </c>
      <c r="H20" s="12">
        <f>H13+H18</f>
        <v>411976</v>
      </c>
    </row>
    <row r="21" spans="2:8" x14ac:dyDescent="0.2">
      <c r="B21" s="13" t="s">
        <v>33</v>
      </c>
      <c r="C21" s="14">
        <f>C20-G20</f>
        <v>0</v>
      </c>
    </row>
    <row r="22" spans="2:8" x14ac:dyDescent="0.2">
      <c r="B22" s="15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1"/>
  <sheetViews>
    <sheetView tabSelected="1" zoomScaleNormal="100" workbookViewId="0">
      <selection activeCell="C7" sqref="C7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8" customWidth="1"/>
    <col min="4" max="4" width="14" customWidth="1"/>
  </cols>
  <sheetData>
    <row r="1" spans="2:4" x14ac:dyDescent="0.2">
      <c r="B1" s="1" t="s">
        <v>35</v>
      </c>
    </row>
    <row r="2" spans="2:4" x14ac:dyDescent="0.2">
      <c r="B2" s="2" t="s">
        <v>36</v>
      </c>
      <c r="C2" s="2" t="s">
        <v>2</v>
      </c>
      <c r="D2" s="2" t="s">
        <v>37</v>
      </c>
    </row>
    <row r="3" spans="2:4" x14ac:dyDescent="0.2">
      <c r="B3" s="15" t="s">
        <v>5</v>
      </c>
    </row>
    <row r="4" spans="2:4" x14ac:dyDescent="0.2">
      <c r="B4" s="5" t="s">
        <v>38</v>
      </c>
      <c r="C4" s="6">
        <v>245122</v>
      </c>
      <c r="D4" s="16">
        <f>IF(C$4=0,0,C4/C$4)</f>
        <v>1</v>
      </c>
    </row>
    <row r="5" spans="2:4" x14ac:dyDescent="0.2">
      <c r="B5" s="5" t="s">
        <v>39</v>
      </c>
      <c r="C5" s="6">
        <v>74114</v>
      </c>
      <c r="D5" s="16">
        <f>IF(C$4=0,0,C5/C$4)</f>
        <v>0.30235556172028621</v>
      </c>
    </row>
    <row r="6" spans="2:4" x14ac:dyDescent="0.2">
      <c r="B6" s="5" t="s">
        <v>40</v>
      </c>
      <c r="C6" s="8">
        <f>C4-C5</f>
        <v>171008</v>
      </c>
      <c r="D6" s="16">
        <f>IF(C$4=0,0,C6/C$4)</f>
        <v>0.69764443827971379</v>
      </c>
    </row>
    <row r="7" spans="2:4" x14ac:dyDescent="0.2">
      <c r="B7" s="5" t="s">
        <v>41</v>
      </c>
      <c r="C7" s="6">
        <v>22287</v>
      </c>
      <c r="D7" s="17">
        <v>9.0922071458294201E-2</v>
      </c>
    </row>
    <row r="8" spans="2:4" x14ac:dyDescent="0.2">
      <c r="B8" s="7" t="s">
        <v>42</v>
      </c>
      <c r="C8" s="18">
        <v>109433</v>
      </c>
      <c r="D8" s="16">
        <f>IF(C$4=0,0,C8/C$4)</f>
        <v>0.44644299573273716</v>
      </c>
    </row>
    <row r="9" spans="2:4" x14ac:dyDescent="0.2">
      <c r="D9" s="16">
        <f>IF(C$4=0,0,C9/C$4)</f>
        <v>0</v>
      </c>
    </row>
    <row r="10" spans="2:4" x14ac:dyDescent="0.2">
      <c r="B10" s="5" t="s">
        <v>43</v>
      </c>
      <c r="C10" s="6">
        <v>-1646</v>
      </c>
      <c r="D10" s="16">
        <f>IF(C$4=0,0,C10/C$4)</f>
        <v>-6.715023539298798E-3</v>
      </c>
    </row>
    <row r="11" spans="2:4" x14ac:dyDescent="0.2">
      <c r="B11" s="5" t="s">
        <v>44</v>
      </c>
      <c r="C11" s="6">
        <v>0</v>
      </c>
      <c r="D11" s="17">
        <v>0</v>
      </c>
    </row>
    <row r="12" spans="2:4" x14ac:dyDescent="0.2">
      <c r="B12" s="7" t="s">
        <v>45</v>
      </c>
      <c r="C12" s="8">
        <f>C8+C10-C11</f>
        <v>107787</v>
      </c>
      <c r="D12" s="16">
        <f>IF(C$4=0,0,C12/C$4)</f>
        <v>0.43972797219343834</v>
      </c>
    </row>
    <row r="13" spans="2:4" x14ac:dyDescent="0.2">
      <c r="D13" s="16">
        <f>IF(C$4=0,0,C13/C$4)</f>
        <v>0</v>
      </c>
    </row>
    <row r="14" spans="2:4" x14ac:dyDescent="0.2">
      <c r="B14" s="5" t="s">
        <v>46</v>
      </c>
      <c r="C14" s="6">
        <v>19651</v>
      </c>
      <c r="D14" s="17">
        <v>8.0168242752588506E-2</v>
      </c>
    </row>
    <row r="15" spans="2:4" x14ac:dyDescent="0.2">
      <c r="B15" s="7" t="s">
        <v>47</v>
      </c>
      <c r="C15" s="8">
        <f>C12-C14</f>
        <v>88136</v>
      </c>
      <c r="D15" s="16">
        <f>IF(C$4=0,0,C15/C$4)</f>
        <v>0.35955972944084985</v>
      </c>
    </row>
    <row r="16" spans="2:4" x14ac:dyDescent="0.2">
      <c r="D16" s="16">
        <f>IF(C$4=0,0,C16/C$4)</f>
        <v>0</v>
      </c>
    </row>
    <row r="17" spans="2:4" x14ac:dyDescent="0.2">
      <c r="B17" s="4" t="s">
        <v>48</v>
      </c>
      <c r="C17" s="8">
        <f>C15-C16</f>
        <v>88136</v>
      </c>
      <c r="D17" s="16">
        <f>IF(C$4=0,0,C17/C$4)</f>
        <v>0.35955972944084985</v>
      </c>
    </row>
    <row r="18" spans="2:4" x14ac:dyDescent="0.2">
      <c r="B18" s="5" t="s">
        <v>49</v>
      </c>
      <c r="C18" s="6">
        <v>22296</v>
      </c>
      <c r="D18" s="16">
        <f>IF(C$4=0,0,C18/C$4)</f>
        <v>9.0958787868897939E-2</v>
      </c>
    </row>
    <row r="19" spans="2:4" x14ac:dyDescent="0.2">
      <c r="B19" s="5" t="s">
        <v>50</v>
      </c>
      <c r="C19" s="8">
        <f>C17-C18</f>
        <v>65840</v>
      </c>
      <c r="D19" s="16">
        <f>IF(C$4=0,0,C19/C$4)</f>
        <v>0.26860094157195191</v>
      </c>
    </row>
    <row r="21" spans="2:4" x14ac:dyDescent="0.2">
      <c r="B21" s="15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2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52" customWidth="1"/>
    <col min="3" max="3" width="18" customWidth="1"/>
    <col min="4" max="4" width="22" customWidth="1"/>
  </cols>
  <sheetData>
    <row r="1" spans="2:4" x14ac:dyDescent="0.2">
      <c r="B1" s="1" t="s">
        <v>51</v>
      </c>
    </row>
    <row r="2" spans="2:4" x14ac:dyDescent="0.2">
      <c r="B2" s="2" t="s">
        <v>36</v>
      </c>
      <c r="C2" s="2" t="s">
        <v>2</v>
      </c>
      <c r="D2" s="2" t="s">
        <v>52</v>
      </c>
    </row>
    <row r="3" spans="2:4" x14ac:dyDescent="0.2">
      <c r="B3" s="15" t="s">
        <v>5</v>
      </c>
    </row>
    <row r="4" spans="2:4" x14ac:dyDescent="0.2">
      <c r="B4" s="4" t="s">
        <v>53</v>
      </c>
    </row>
    <row r="5" spans="2:4" x14ac:dyDescent="0.2">
      <c r="B5" s="5" t="s">
        <v>47</v>
      </c>
      <c r="C5" s="6">
        <v>88136</v>
      </c>
      <c r="D5" s="3" t="s">
        <v>54</v>
      </c>
    </row>
    <row r="6" spans="2:4" x14ac:dyDescent="0.2">
      <c r="B6" s="5" t="s">
        <v>55</v>
      </c>
      <c r="C6" s="6">
        <v>22287</v>
      </c>
      <c r="D6" s="3" t="s">
        <v>54</v>
      </c>
    </row>
    <row r="7" spans="2:4" x14ac:dyDescent="0.2">
      <c r="B7" s="5" t="s">
        <v>56</v>
      </c>
    </row>
    <row r="8" spans="2:4" x14ac:dyDescent="0.2">
      <c r="B8" s="5" t="s">
        <v>57</v>
      </c>
      <c r="C8" s="6">
        <v>-7191</v>
      </c>
      <c r="D8" s="3" t="s">
        <v>58</v>
      </c>
    </row>
    <row r="9" spans="2:4" x14ac:dyDescent="0.2">
      <c r="B9" s="5" t="s">
        <v>59</v>
      </c>
      <c r="C9" s="6">
        <v>1254</v>
      </c>
      <c r="D9" s="3" t="s">
        <v>58</v>
      </c>
    </row>
    <row r="10" spans="2:4" x14ac:dyDescent="0.2">
      <c r="B10" s="5" t="s">
        <v>60</v>
      </c>
      <c r="C10" s="6">
        <v>-4214</v>
      </c>
      <c r="D10" s="3" t="s">
        <v>58</v>
      </c>
    </row>
    <row r="11" spans="2:4" x14ac:dyDescent="0.2">
      <c r="B11" s="5" t="s">
        <v>61</v>
      </c>
      <c r="C11" s="6">
        <v>3901</v>
      </c>
      <c r="D11" s="3" t="s">
        <v>58</v>
      </c>
    </row>
    <row r="12" spans="2:4" x14ac:dyDescent="0.2">
      <c r="B12" s="5" t="s">
        <v>62</v>
      </c>
      <c r="C12" s="6">
        <v>13541</v>
      </c>
      <c r="D12" s="3" t="s">
        <v>58</v>
      </c>
    </row>
    <row r="13" spans="2:4" x14ac:dyDescent="0.2">
      <c r="B13" s="7" t="s">
        <v>63</v>
      </c>
      <c r="C13" s="8">
        <f>SUM(C8:C12)</f>
        <v>7291</v>
      </c>
    </row>
    <row r="14" spans="2:4" x14ac:dyDescent="0.2">
      <c r="B14" s="7" t="s">
        <v>64</v>
      </c>
      <c r="C14" s="8">
        <f>C5+C6+C13</f>
        <v>117714</v>
      </c>
    </row>
    <row r="16" spans="2:4" x14ac:dyDescent="0.2">
      <c r="B16" s="4" t="s">
        <v>65</v>
      </c>
    </row>
    <row r="17" spans="2:3" x14ac:dyDescent="0.2">
      <c r="B17" s="5" t="s">
        <v>66</v>
      </c>
      <c r="C17" s="6">
        <v>-44477</v>
      </c>
    </row>
    <row r="18" spans="2:3" x14ac:dyDescent="0.2">
      <c r="B18" s="5" t="s">
        <v>67</v>
      </c>
      <c r="C18" s="6">
        <v>-69132</v>
      </c>
    </row>
    <row r="19" spans="2:3" x14ac:dyDescent="0.2">
      <c r="B19" s="5" t="s">
        <v>68</v>
      </c>
      <c r="C19" s="6">
        <v>16639</v>
      </c>
    </row>
    <row r="20" spans="2:3" x14ac:dyDescent="0.2">
      <c r="B20" s="7" t="s">
        <v>69</v>
      </c>
      <c r="C20" s="8">
        <f>SUM(C17:C19)</f>
        <v>-96970</v>
      </c>
    </row>
    <row r="22" spans="2:3" x14ac:dyDescent="0.2">
      <c r="B22" s="4" t="s">
        <v>70</v>
      </c>
    </row>
    <row r="23" spans="2:3" x14ac:dyDescent="0.2">
      <c r="B23" s="5" t="s">
        <v>71</v>
      </c>
      <c r="C23" s="6">
        <v>5250</v>
      </c>
    </row>
    <row r="24" spans="2:3" x14ac:dyDescent="0.2">
      <c r="B24" s="5" t="s">
        <v>72</v>
      </c>
      <c r="C24" s="6">
        <v>-4675</v>
      </c>
    </row>
    <row r="25" spans="2:3" x14ac:dyDescent="0.2">
      <c r="B25" s="5" t="s">
        <v>73</v>
      </c>
      <c r="C25" s="6">
        <v>-21771</v>
      </c>
    </row>
    <row r="26" spans="2:3" x14ac:dyDescent="0.2">
      <c r="B26" s="5" t="s">
        <v>74</v>
      </c>
      <c r="C26" s="6">
        <v>-15252</v>
      </c>
    </row>
    <row r="27" spans="2:3" x14ac:dyDescent="0.2">
      <c r="B27" s="5" t="s">
        <v>75</v>
      </c>
      <c r="C27" s="6">
        <v>-1309</v>
      </c>
    </row>
    <row r="28" spans="2:3" x14ac:dyDescent="0.2">
      <c r="B28" s="7" t="s">
        <v>76</v>
      </c>
      <c r="C28" s="8">
        <f>SUM(C23:C27)</f>
        <v>-37757</v>
      </c>
    </row>
    <row r="30" spans="2:3" x14ac:dyDescent="0.2">
      <c r="B30" s="7" t="s">
        <v>77</v>
      </c>
      <c r="C30" s="8">
        <f>C14+C20+C28</f>
        <v>-17013</v>
      </c>
    </row>
    <row r="32" spans="2:3" x14ac:dyDescent="0.2">
      <c r="B32" s="15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90"/>
  <sheetViews>
    <sheetView topLeftCell="A30" zoomScaleNormal="100" workbookViewId="0">
      <selection activeCell="C66" sqref="C66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2:5" x14ac:dyDescent="0.2">
      <c r="B1" s="1" t="s">
        <v>78</v>
      </c>
    </row>
    <row r="2" spans="2:5" x14ac:dyDescent="0.2">
      <c r="B2" s="2" t="s">
        <v>79</v>
      </c>
      <c r="C2" s="2" t="s">
        <v>80</v>
      </c>
      <c r="D2" s="2" t="s">
        <v>81</v>
      </c>
      <c r="E2" s="2" t="s">
        <v>82</v>
      </c>
    </row>
    <row r="3" spans="2:5" x14ac:dyDescent="0.2">
      <c r="B3" s="5" t="s">
        <v>83</v>
      </c>
      <c r="C3" s="19">
        <v>2024</v>
      </c>
      <c r="E3" s="20" t="s">
        <v>84</v>
      </c>
    </row>
    <row r="4" spans="2:5" x14ac:dyDescent="0.2">
      <c r="B4" s="5" t="s">
        <v>85</v>
      </c>
      <c r="C4" s="19">
        <v>2023</v>
      </c>
      <c r="D4" s="21" t="s">
        <v>86</v>
      </c>
      <c r="E4" s="20" t="s">
        <v>87</v>
      </c>
    </row>
    <row r="5" spans="2:5" x14ac:dyDescent="0.2">
      <c r="B5" s="5" t="s">
        <v>88</v>
      </c>
      <c r="C5" s="22">
        <v>446.34</v>
      </c>
      <c r="E5" s="20" t="s">
        <v>89</v>
      </c>
    </row>
    <row r="6" spans="2:5" x14ac:dyDescent="0.2">
      <c r="B6" s="5" t="s">
        <v>90</v>
      </c>
      <c r="C6" s="19">
        <v>7434</v>
      </c>
      <c r="E6" s="20" t="s">
        <v>91</v>
      </c>
    </row>
    <row r="7" spans="2:5" x14ac:dyDescent="0.2">
      <c r="B7" s="5" t="s">
        <v>92</v>
      </c>
      <c r="C7" s="19">
        <v>0.09</v>
      </c>
      <c r="E7" s="20" t="s">
        <v>93</v>
      </c>
    </row>
    <row r="8" spans="2:5" x14ac:dyDescent="0.2">
      <c r="B8" s="5" t="s">
        <v>94</v>
      </c>
      <c r="C8" s="19">
        <v>0.182</v>
      </c>
      <c r="E8" s="20" t="s">
        <v>95</v>
      </c>
    </row>
    <row r="9" spans="2:5" x14ac:dyDescent="0.2">
      <c r="B9" s="5" t="s">
        <v>96</v>
      </c>
      <c r="C9" s="23">
        <f>C5*C6</f>
        <v>3318091.5599999996</v>
      </c>
      <c r="D9" s="21" t="s">
        <v>97</v>
      </c>
      <c r="E9" s="20" t="s">
        <v>98</v>
      </c>
    </row>
    <row r="11" spans="2:5" x14ac:dyDescent="0.2">
      <c r="B11" s="4" t="s">
        <v>99</v>
      </c>
    </row>
    <row r="12" spans="2:5" x14ac:dyDescent="0.2">
      <c r="B12" s="5" t="s">
        <v>100</v>
      </c>
      <c r="C12" s="8">
        <f>'Balance Sheet'!H18</f>
        <v>206223</v>
      </c>
      <c r="D12" s="21" t="s">
        <v>101</v>
      </c>
      <c r="E12" s="20" t="s">
        <v>102</v>
      </c>
    </row>
    <row r="13" spans="2:5" x14ac:dyDescent="0.2">
      <c r="B13" s="5" t="s">
        <v>103</v>
      </c>
      <c r="C13" s="8">
        <f>'Balance Sheet'!D7</f>
        <v>2500</v>
      </c>
      <c r="D13" s="21" t="s">
        <v>104</v>
      </c>
      <c r="E13" s="20" t="s">
        <v>105</v>
      </c>
    </row>
    <row r="14" spans="2:5" x14ac:dyDescent="0.2">
      <c r="B14" s="5" t="s">
        <v>106</v>
      </c>
      <c r="C14" s="8">
        <f>'Balance Sheet'!D6</f>
        <v>48688</v>
      </c>
      <c r="D14" s="21" t="s">
        <v>107</v>
      </c>
      <c r="E14" s="20" t="s">
        <v>108</v>
      </c>
    </row>
    <row r="15" spans="2:5" x14ac:dyDescent="0.2">
      <c r="B15" s="5" t="s">
        <v>109</v>
      </c>
      <c r="C15" s="8">
        <f>'Balance Sheet'!D20</f>
        <v>411976</v>
      </c>
      <c r="D15" s="21" t="s">
        <v>110</v>
      </c>
      <c r="E15" s="20" t="s">
        <v>111</v>
      </c>
    </row>
    <row r="16" spans="2:5" x14ac:dyDescent="0.2">
      <c r="B16" s="5" t="s">
        <v>112</v>
      </c>
      <c r="C16" s="8">
        <f>'Balance Sheet'!H10+'Balance Sheet'!H18</f>
        <v>248213</v>
      </c>
      <c r="D16" s="21" t="s">
        <v>113</v>
      </c>
      <c r="E16" s="20" t="s">
        <v>114</v>
      </c>
    </row>
    <row r="18" spans="2:5" x14ac:dyDescent="0.2">
      <c r="B18" s="4" t="s">
        <v>115</v>
      </c>
    </row>
    <row r="19" spans="2:5" x14ac:dyDescent="0.2">
      <c r="B19" s="5" t="s">
        <v>116</v>
      </c>
      <c r="C19" s="24">
        <f>'Income Statement'!C15+(1-C8)*'Income Statement'!C11</f>
        <v>88136</v>
      </c>
      <c r="D19" s="21" t="s">
        <v>117</v>
      </c>
      <c r="E19" s="20" t="s">
        <v>118</v>
      </c>
    </row>
    <row r="20" spans="2:5" x14ac:dyDescent="0.2">
      <c r="B20" s="5" t="s">
        <v>119</v>
      </c>
      <c r="C20" s="23">
        <f>'Income Statement'!C4/365</f>
        <v>671.56712328767128</v>
      </c>
      <c r="D20" s="21" t="s">
        <v>120</v>
      </c>
      <c r="E20" s="20" t="s">
        <v>121</v>
      </c>
    </row>
    <row r="21" spans="2:5" x14ac:dyDescent="0.2">
      <c r="B21" s="5" t="s">
        <v>122</v>
      </c>
      <c r="C21" s="8">
        <f>'Balance Sheet'!G18</f>
        <v>268477</v>
      </c>
      <c r="D21" s="21" t="s">
        <v>123</v>
      </c>
      <c r="E21" s="20" t="s">
        <v>124</v>
      </c>
    </row>
    <row r="22" spans="2:5" x14ac:dyDescent="0.2">
      <c r="B22" s="5" t="s">
        <v>125</v>
      </c>
      <c r="C22" s="8">
        <f>'Balance Sheet'!C5</f>
        <v>75543</v>
      </c>
      <c r="D22" s="21" t="s">
        <v>126</v>
      </c>
      <c r="E22" s="20" t="s">
        <v>127</v>
      </c>
    </row>
    <row r="23" spans="2:5" x14ac:dyDescent="0.2">
      <c r="B23" s="5" t="s">
        <v>128</v>
      </c>
      <c r="C23" s="8">
        <f>'Balance Sheet'!C9</f>
        <v>159734</v>
      </c>
      <c r="D23" s="21" t="s">
        <v>129</v>
      </c>
      <c r="E23" s="20" t="s">
        <v>130</v>
      </c>
    </row>
    <row r="24" spans="2:5" x14ac:dyDescent="0.2">
      <c r="B24" s="5" t="s">
        <v>131</v>
      </c>
      <c r="C24" s="8">
        <f>'Balance Sheet'!G8</f>
        <v>125286</v>
      </c>
      <c r="D24" s="21" t="s">
        <v>132</v>
      </c>
      <c r="E24" s="20" t="s">
        <v>133</v>
      </c>
    </row>
    <row r="25" spans="2:5" x14ac:dyDescent="0.2">
      <c r="B25" s="5" t="s">
        <v>134</v>
      </c>
      <c r="C25" s="23">
        <f>'Income Statement'!C5/365</f>
        <v>203.05205479452056</v>
      </c>
      <c r="D25" s="21" t="s">
        <v>135</v>
      </c>
      <c r="E25" s="20" t="s">
        <v>136</v>
      </c>
    </row>
    <row r="26" spans="2:5" x14ac:dyDescent="0.2">
      <c r="B26" s="5" t="s">
        <v>137</v>
      </c>
      <c r="C26" s="8">
        <f>'Balance Sheet'!G10</f>
        <v>42688</v>
      </c>
      <c r="D26" s="21" t="s">
        <v>138</v>
      </c>
      <c r="E26" s="20" t="s">
        <v>139</v>
      </c>
    </row>
    <row r="27" spans="2:5" x14ac:dyDescent="0.2">
      <c r="B27" s="5" t="s">
        <v>140</v>
      </c>
      <c r="C27" s="8">
        <f>'Balance Sheet'!C9-'Balance Sheet'!G8</f>
        <v>34448</v>
      </c>
      <c r="D27" s="21" t="s">
        <v>141</v>
      </c>
      <c r="E27" s="20" t="s">
        <v>142</v>
      </c>
    </row>
    <row r="28" spans="2:5" x14ac:dyDescent="0.2">
      <c r="B28" s="5" t="s">
        <v>143</v>
      </c>
      <c r="C28" s="8">
        <f>'Balance Sheet'!C20</f>
        <v>512163</v>
      </c>
      <c r="D28" s="21" t="s">
        <v>144</v>
      </c>
      <c r="E28" s="20" t="s">
        <v>145</v>
      </c>
    </row>
    <row r="29" spans="2:5" x14ac:dyDescent="0.2">
      <c r="B29" s="5" t="s">
        <v>146</v>
      </c>
      <c r="C29" s="8">
        <f>'Balance Sheet'!G10+'Balance Sheet'!G18</f>
        <v>311165</v>
      </c>
      <c r="D29" s="21" t="s">
        <v>147</v>
      </c>
      <c r="E29" s="20" t="s">
        <v>148</v>
      </c>
    </row>
    <row r="30" spans="2:5" x14ac:dyDescent="0.2">
      <c r="B30" s="5" t="s">
        <v>149</v>
      </c>
      <c r="C30" s="8">
        <f>'Balance Sheet'!G13</f>
        <v>243686</v>
      </c>
      <c r="D30" s="21" t="s">
        <v>150</v>
      </c>
      <c r="E30" s="20" t="s">
        <v>151</v>
      </c>
    </row>
    <row r="32" spans="2:5" x14ac:dyDescent="0.2">
      <c r="B32" s="4" t="s">
        <v>152</v>
      </c>
    </row>
    <row r="33" spans="2:5" x14ac:dyDescent="0.2">
      <c r="B33" s="5" t="s">
        <v>153</v>
      </c>
      <c r="C33" s="8">
        <f>AVERAGE(C12,C21)</f>
        <v>237350</v>
      </c>
      <c r="D33" s="21" t="s">
        <v>154</v>
      </c>
      <c r="E33" s="20" t="s">
        <v>155</v>
      </c>
    </row>
    <row r="34" spans="2:5" x14ac:dyDescent="0.2">
      <c r="B34" s="5" t="s">
        <v>156</v>
      </c>
      <c r="C34" s="8">
        <f>AVERAGE(C15,C28)</f>
        <v>462069.5</v>
      </c>
      <c r="D34" s="21" t="s">
        <v>157</v>
      </c>
      <c r="E34" s="20" t="s">
        <v>158</v>
      </c>
    </row>
    <row r="35" spans="2:5" x14ac:dyDescent="0.2">
      <c r="B35" s="5" t="s">
        <v>159</v>
      </c>
      <c r="C35" s="8">
        <f>AVERAGE(C16,C29)</f>
        <v>279689</v>
      </c>
      <c r="D35" s="21" t="s">
        <v>160</v>
      </c>
      <c r="E35" s="20" t="s">
        <v>161</v>
      </c>
    </row>
    <row r="36" spans="2:5" x14ac:dyDescent="0.2">
      <c r="B36" s="5" t="s">
        <v>162</v>
      </c>
      <c r="C36" s="8">
        <f>C26+C21</f>
        <v>311165</v>
      </c>
      <c r="D36" s="21" t="s">
        <v>163</v>
      </c>
      <c r="E36" s="20" t="s">
        <v>164</v>
      </c>
    </row>
    <row r="39" spans="2:5" x14ac:dyDescent="0.2">
      <c r="B39" s="2" t="s">
        <v>165</v>
      </c>
      <c r="C39" s="2" t="s">
        <v>166</v>
      </c>
      <c r="D39" s="2" t="s">
        <v>167</v>
      </c>
      <c r="E39" s="2" t="s">
        <v>82</v>
      </c>
    </row>
    <row r="40" spans="2:5" x14ac:dyDescent="0.2">
      <c r="B40" s="4" t="s">
        <v>168</v>
      </c>
    </row>
    <row r="41" spans="2:5" x14ac:dyDescent="0.2">
      <c r="B41" s="5" t="s">
        <v>169</v>
      </c>
      <c r="C41" s="25">
        <f>C9-C21</f>
        <v>3049614.5599999996</v>
      </c>
      <c r="D41" s="21" t="s">
        <v>170</v>
      </c>
      <c r="E41" s="20"/>
    </row>
    <row r="42" spans="2:5" x14ac:dyDescent="0.2">
      <c r="B42" s="5" t="s">
        <v>171</v>
      </c>
      <c r="C42" s="26">
        <f>C9/C21</f>
        <v>12.358941585312706</v>
      </c>
      <c r="D42" s="21" t="s">
        <v>172</v>
      </c>
      <c r="E42" s="20"/>
    </row>
    <row r="43" spans="2:5" x14ac:dyDescent="0.2">
      <c r="B43" s="5" t="s">
        <v>173</v>
      </c>
      <c r="C43" s="25">
        <f>C19-(C7*C16)</f>
        <v>65796.83</v>
      </c>
      <c r="D43" s="21" t="s">
        <v>174</v>
      </c>
      <c r="E43" s="20"/>
    </row>
    <row r="45" spans="2:5" x14ac:dyDescent="0.2">
      <c r="B45" s="4" t="s">
        <v>175</v>
      </c>
    </row>
    <row r="46" spans="2:5" x14ac:dyDescent="0.2">
      <c r="B46" s="5" t="s">
        <v>176</v>
      </c>
      <c r="C46" s="27">
        <f>C19/C15</f>
        <v>0.21393479231799911</v>
      </c>
      <c r="D46" s="21" t="s">
        <v>177</v>
      </c>
      <c r="E46" s="20"/>
    </row>
    <row r="47" spans="2:5" x14ac:dyDescent="0.2">
      <c r="B47" s="5" t="s">
        <v>178</v>
      </c>
      <c r="C47" s="27">
        <f>C19/C16</f>
        <v>0.3550821270441113</v>
      </c>
      <c r="D47" s="21" t="s">
        <v>179</v>
      </c>
      <c r="E47" s="20"/>
    </row>
    <row r="48" spans="2:5" x14ac:dyDescent="0.2">
      <c r="B48" s="5" t="s">
        <v>180</v>
      </c>
      <c r="C48" s="27">
        <f>'Income Statement'!C15/C12</f>
        <v>0.427382008796303</v>
      </c>
      <c r="D48" s="21" t="s">
        <v>181</v>
      </c>
      <c r="E48" s="20"/>
    </row>
    <row r="49" spans="2:5" x14ac:dyDescent="0.2">
      <c r="B49" s="5" t="s">
        <v>182</v>
      </c>
      <c r="C49" s="27">
        <f>C19/C34</f>
        <v>0.19074186891798744</v>
      </c>
      <c r="D49" s="21" t="s">
        <v>183</v>
      </c>
      <c r="E49" s="20"/>
    </row>
    <row r="50" spans="2:5" x14ac:dyDescent="0.2">
      <c r="B50" s="5" t="s">
        <v>184</v>
      </c>
      <c r="C50" s="27">
        <f>C19/C35</f>
        <v>0.31512143845485524</v>
      </c>
      <c r="D50" s="21" t="s">
        <v>185</v>
      </c>
      <c r="E50" s="20"/>
    </row>
    <row r="51" spans="2:5" x14ac:dyDescent="0.2">
      <c r="B51" s="5" t="s">
        <v>186</v>
      </c>
      <c r="C51" s="27">
        <f>'Income Statement'!C15/C33</f>
        <v>0.37133347377290921</v>
      </c>
      <c r="D51" s="21" t="s">
        <v>187</v>
      </c>
      <c r="E51" s="20"/>
    </row>
    <row r="53" spans="2:5" x14ac:dyDescent="0.2">
      <c r="B53" s="4" t="s">
        <v>188</v>
      </c>
    </row>
    <row r="54" spans="2:5" x14ac:dyDescent="0.2">
      <c r="B54" s="5" t="s">
        <v>189</v>
      </c>
      <c r="C54" s="26">
        <f>'Income Statement'!C4/C15</f>
        <v>0.59499097034778725</v>
      </c>
      <c r="D54" s="21" t="s">
        <v>190</v>
      </c>
      <c r="E54" s="20" t="s">
        <v>191</v>
      </c>
    </row>
    <row r="55" spans="2:5" x14ac:dyDescent="0.2">
      <c r="B55" s="5" t="s">
        <v>192</v>
      </c>
      <c r="C55" s="26">
        <f>'Income Statement'!C4/C14</f>
        <v>5.0345465001643115</v>
      </c>
      <c r="D55" s="21" t="s">
        <v>193</v>
      </c>
      <c r="E55" s="20"/>
    </row>
    <row r="56" spans="2:5" x14ac:dyDescent="0.2">
      <c r="B56" s="5" t="s">
        <v>194</v>
      </c>
      <c r="C56" s="28">
        <f>C14/C20</f>
        <v>72.499082089734898</v>
      </c>
      <c r="D56" s="21" t="s">
        <v>195</v>
      </c>
      <c r="E56" s="20"/>
    </row>
    <row r="57" spans="2:5" x14ac:dyDescent="0.2">
      <c r="B57" s="5" t="s">
        <v>196</v>
      </c>
      <c r="C57" s="26">
        <f>'Income Statement'!C5/C13</f>
        <v>29.645600000000002</v>
      </c>
      <c r="D57" s="21" t="s">
        <v>197</v>
      </c>
      <c r="E57" s="20"/>
    </row>
    <row r="58" spans="2:5" x14ac:dyDescent="0.2">
      <c r="B58" s="5" t="s">
        <v>198</v>
      </c>
      <c r="C58" s="28">
        <f>C13/C25</f>
        <v>12.312113770677604</v>
      </c>
      <c r="D58" s="21" t="s">
        <v>199</v>
      </c>
      <c r="E58" s="20"/>
    </row>
    <row r="59" spans="2:5" x14ac:dyDescent="0.2">
      <c r="B59" s="5" t="s">
        <v>200</v>
      </c>
      <c r="C59" s="27">
        <f>'Income Statement'!C15/'Income Statement'!C4</f>
        <v>0.35955972944084985</v>
      </c>
      <c r="D59" s="21" t="s">
        <v>201</v>
      </c>
      <c r="E59" s="20"/>
    </row>
    <row r="60" spans="2:5" x14ac:dyDescent="0.2">
      <c r="B60" s="5" t="s">
        <v>202</v>
      </c>
      <c r="C60" s="27">
        <f>C19/'Income Statement'!C4</f>
        <v>0.35955972944084985</v>
      </c>
      <c r="D60" s="21" t="s">
        <v>203</v>
      </c>
      <c r="E60" s="20" t="s">
        <v>204</v>
      </c>
    </row>
    <row r="62" spans="2:5" x14ac:dyDescent="0.2">
      <c r="B62" s="4" t="s">
        <v>205</v>
      </c>
    </row>
    <row r="63" spans="2:5" x14ac:dyDescent="0.2">
      <c r="B63" s="5" t="s">
        <v>206</v>
      </c>
      <c r="C63" s="27">
        <f>C26/(C26+C21)</f>
        <v>0.13718766570790417</v>
      </c>
      <c r="D63" s="21" t="s">
        <v>207</v>
      </c>
      <c r="E63" s="20"/>
    </row>
    <row r="64" spans="2:5" x14ac:dyDescent="0.2">
      <c r="B64" s="5" t="s">
        <v>208</v>
      </c>
      <c r="C64" s="26">
        <f>C26/C21</f>
        <v>0.15900058478007428</v>
      </c>
      <c r="D64" s="21" t="s">
        <v>209</v>
      </c>
      <c r="E64" s="20"/>
    </row>
    <row r="65" spans="2:5" x14ac:dyDescent="0.2">
      <c r="B65" s="5" t="s">
        <v>210</v>
      </c>
      <c r="C65" s="27">
        <f>C30/C28</f>
        <v>0.47579774407756903</v>
      </c>
      <c r="D65" s="21" t="s">
        <v>211</v>
      </c>
      <c r="E65" s="20"/>
    </row>
    <row r="66" spans="2:5" x14ac:dyDescent="0.2">
      <c r="B66" s="5" t="s">
        <v>212</v>
      </c>
      <c r="C66" s="29" t="str">
        <f>IF('Income Statement'!C11=0,"N/A",'Income Statement'!C8/'Income Statement'!C11)</f>
        <v>N/A</v>
      </c>
      <c r="D66" s="21" t="s">
        <v>213</v>
      </c>
      <c r="E66" s="20"/>
    </row>
    <row r="67" spans="2:5" x14ac:dyDescent="0.2">
      <c r="B67" s="5" t="s">
        <v>214</v>
      </c>
      <c r="C67" s="29" t="str">
        <f>IF('Income Statement'!C11=0,"N/A",('Income Statement'!C8+'Income Statement'!C7)/'Income Statement'!C11)</f>
        <v>N/A</v>
      </c>
      <c r="D67" s="21" t="s">
        <v>215</v>
      </c>
      <c r="E67" s="20"/>
    </row>
    <row r="68" spans="2:5" x14ac:dyDescent="0.2">
      <c r="B68" s="5" t="s">
        <v>216</v>
      </c>
      <c r="C68" s="27">
        <f>'Income Statement'!C15/C19</f>
        <v>1</v>
      </c>
      <c r="D68" s="21" t="s">
        <v>217</v>
      </c>
      <c r="E68" s="20" t="s">
        <v>218</v>
      </c>
    </row>
    <row r="69" spans="2:5" x14ac:dyDescent="0.2">
      <c r="B69" s="5" t="s">
        <v>219</v>
      </c>
      <c r="C69" s="26">
        <f>C28/C21</f>
        <v>1.9076606189729475</v>
      </c>
      <c r="D69" s="21" t="s">
        <v>220</v>
      </c>
      <c r="E69" s="20" t="s">
        <v>221</v>
      </c>
    </row>
    <row r="71" spans="2:5" x14ac:dyDescent="0.2">
      <c r="B71" s="4" t="s">
        <v>222</v>
      </c>
    </row>
    <row r="72" spans="2:5" x14ac:dyDescent="0.2">
      <c r="B72" s="5" t="s">
        <v>223</v>
      </c>
      <c r="C72" s="27">
        <f>C27/C28</f>
        <v>6.725983720026632E-2</v>
      </c>
      <c r="D72" s="21" t="s">
        <v>224</v>
      </c>
      <c r="E72" s="20"/>
    </row>
    <row r="73" spans="2:5" x14ac:dyDescent="0.2">
      <c r="B73" s="5" t="s">
        <v>225</v>
      </c>
      <c r="C73" s="26">
        <f>C23/C24</f>
        <v>1.2749549031815206</v>
      </c>
      <c r="D73" s="21" t="s">
        <v>226</v>
      </c>
      <c r="E73" s="20"/>
    </row>
    <row r="74" spans="2:5" x14ac:dyDescent="0.2">
      <c r="B74" s="5" t="s">
        <v>227</v>
      </c>
      <c r="C74" s="26">
        <f>(C22+'Balance Sheet'!C6)/C24</f>
        <v>1.0573168590265472</v>
      </c>
      <c r="D74" s="21" t="s">
        <v>228</v>
      </c>
      <c r="E74" s="20"/>
    </row>
    <row r="75" spans="2:5" x14ac:dyDescent="0.2">
      <c r="B75" s="5" t="s">
        <v>229</v>
      </c>
      <c r="C75" s="26">
        <f>C22/C24</f>
        <v>0.60296441741295914</v>
      </c>
      <c r="D75" s="21" t="s">
        <v>230</v>
      </c>
      <c r="E75" s="20"/>
    </row>
    <row r="77" spans="2:5" x14ac:dyDescent="0.2">
      <c r="B77" s="4" t="s">
        <v>231</v>
      </c>
    </row>
    <row r="78" spans="2:5" x14ac:dyDescent="0.2">
      <c r="B78" s="5" t="s">
        <v>232</v>
      </c>
      <c r="C78" s="27">
        <f>C54*C60</f>
        <v>0.21393479231799911</v>
      </c>
      <c r="D78" s="21" t="s">
        <v>233</v>
      </c>
      <c r="E78" s="20"/>
    </row>
    <row r="79" spans="2:5" x14ac:dyDescent="0.2">
      <c r="B79" s="30" t="s">
        <v>234</v>
      </c>
      <c r="D79" s="21" t="s">
        <v>235</v>
      </c>
      <c r="E79" s="20" t="s">
        <v>191</v>
      </c>
    </row>
    <row r="80" spans="2:5" x14ac:dyDescent="0.2">
      <c r="B80" s="30" t="s">
        <v>236</v>
      </c>
      <c r="D80" s="21" t="s">
        <v>235</v>
      </c>
      <c r="E80" s="20" t="s">
        <v>204</v>
      </c>
    </row>
    <row r="82" spans="2:5" x14ac:dyDescent="0.2">
      <c r="B82" s="5" t="s">
        <v>237</v>
      </c>
      <c r="C82" s="27">
        <f>C69*C54*C60*C68</f>
        <v>0.40811497833320315</v>
      </c>
      <c r="D82" s="21" t="s">
        <v>238</v>
      </c>
      <c r="E82" s="20"/>
    </row>
    <row r="83" spans="2:5" x14ac:dyDescent="0.2">
      <c r="B83" s="30" t="s">
        <v>239</v>
      </c>
      <c r="D83" s="21" t="s">
        <v>240</v>
      </c>
      <c r="E83" s="20" t="s">
        <v>221</v>
      </c>
    </row>
    <row r="84" spans="2:5" x14ac:dyDescent="0.2">
      <c r="B84" s="30" t="s">
        <v>234</v>
      </c>
      <c r="D84" s="21" t="s">
        <v>235</v>
      </c>
      <c r="E84" s="20" t="s">
        <v>191</v>
      </c>
    </row>
    <row r="85" spans="2:5" x14ac:dyDescent="0.2">
      <c r="B85" s="30" t="s">
        <v>236</v>
      </c>
      <c r="D85" s="21" t="s">
        <v>235</v>
      </c>
      <c r="E85" s="20" t="s">
        <v>204</v>
      </c>
    </row>
    <row r="86" spans="2:5" x14ac:dyDescent="0.2">
      <c r="B86" s="30" t="s">
        <v>241</v>
      </c>
      <c r="D86" s="21" t="s">
        <v>240</v>
      </c>
      <c r="E86" s="20" t="s">
        <v>218</v>
      </c>
    </row>
    <row r="89" spans="2:5" x14ac:dyDescent="0.2">
      <c r="B89" s="31" t="s">
        <v>242</v>
      </c>
      <c r="C89" s="32" t="s">
        <v>243</v>
      </c>
      <c r="D89" s="33" t="s">
        <v>244</v>
      </c>
      <c r="E89" s="34" t="s">
        <v>245</v>
      </c>
    </row>
    <row r="90" spans="2:5" x14ac:dyDescent="0.2">
      <c r="B90" s="15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0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60" customWidth="1"/>
    <col min="3" max="3" width="55" customWidth="1"/>
  </cols>
  <sheetData>
    <row r="1" spans="2:3" x14ac:dyDescent="0.2">
      <c r="B1" s="1" t="s">
        <v>246</v>
      </c>
    </row>
    <row r="3" spans="2:3" x14ac:dyDescent="0.2">
      <c r="B3" s="1" t="s">
        <v>247</v>
      </c>
      <c r="C3" s="35" t="s">
        <v>248</v>
      </c>
    </row>
    <row r="4" spans="2:3" x14ac:dyDescent="0.2">
      <c r="B4" s="1" t="s">
        <v>249</v>
      </c>
      <c r="C4" s="35" t="s">
        <v>250</v>
      </c>
    </row>
    <row r="5" spans="2:3" x14ac:dyDescent="0.2">
      <c r="B5" s="1" t="s">
        <v>251</v>
      </c>
      <c r="C5" s="35" t="s">
        <v>252</v>
      </c>
    </row>
    <row r="6" spans="2:3" x14ac:dyDescent="0.2">
      <c r="B6" s="1" t="s">
        <v>253</v>
      </c>
      <c r="C6" s="35" t="s">
        <v>2</v>
      </c>
    </row>
    <row r="7" spans="2:3" x14ac:dyDescent="0.2">
      <c r="B7" s="1" t="s">
        <v>254</v>
      </c>
      <c r="C7" s="35" t="s">
        <v>3</v>
      </c>
    </row>
    <row r="8" spans="2:3" x14ac:dyDescent="0.2">
      <c r="B8" s="1" t="s">
        <v>255</v>
      </c>
      <c r="C8" s="35" t="s">
        <v>256</v>
      </c>
    </row>
    <row r="9" spans="2:3" x14ac:dyDescent="0.2">
      <c r="B9" s="1" t="s">
        <v>257</v>
      </c>
      <c r="C9" s="35" t="s">
        <v>258</v>
      </c>
    </row>
    <row r="10" spans="2:3" x14ac:dyDescent="0.2">
      <c r="B10" s="1" t="s">
        <v>259</v>
      </c>
      <c r="C10" s="35" t="s">
        <v>260</v>
      </c>
    </row>
    <row r="11" spans="2:3" x14ac:dyDescent="0.2">
      <c r="B11" s="1" t="s">
        <v>261</v>
      </c>
      <c r="C11" s="35" t="s">
        <v>262</v>
      </c>
    </row>
    <row r="12" spans="2:3" x14ac:dyDescent="0.2">
      <c r="B12" s="1" t="s">
        <v>263</v>
      </c>
      <c r="C12" s="35" t="s">
        <v>264</v>
      </c>
    </row>
    <row r="13" spans="2:3" x14ac:dyDescent="0.2">
      <c r="B13" s="1" t="s">
        <v>265</v>
      </c>
      <c r="C13" s="35" t="s">
        <v>266</v>
      </c>
    </row>
    <row r="15" spans="2:3" x14ac:dyDescent="0.2">
      <c r="B15" s="1" t="s">
        <v>267</v>
      </c>
      <c r="C15" s="35" t="s">
        <v>268</v>
      </c>
    </row>
    <row r="16" spans="2:3" x14ac:dyDescent="0.2">
      <c r="B16" s="1" t="s">
        <v>269</v>
      </c>
      <c r="C16" s="35" t="s">
        <v>270</v>
      </c>
    </row>
    <row r="17" spans="2:3" x14ac:dyDescent="0.2">
      <c r="B17" s="1" t="s">
        <v>271</v>
      </c>
      <c r="C17" s="35" t="s">
        <v>272</v>
      </c>
    </row>
    <row r="18" spans="2:3" x14ac:dyDescent="0.2">
      <c r="B18" s="1" t="s">
        <v>273</v>
      </c>
      <c r="C18" s="35" t="s">
        <v>274</v>
      </c>
    </row>
    <row r="20" spans="2:3" x14ac:dyDescent="0.2">
      <c r="B20" s="1" t="s">
        <v>275</v>
      </c>
      <c r="C20" s="35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Income Statement</vt:lpstr>
      <vt:lpstr>Cash Flow Statement</vt:lpstr>
      <vt:lpstr>Ratios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Meghan Williams</cp:lastModifiedBy>
  <cp:revision>0</cp:revision>
  <dcterms:created xsi:type="dcterms:W3CDTF">2026-04-17T19:12:27Z</dcterms:created>
  <dcterms:modified xsi:type="dcterms:W3CDTF">2026-04-17T22:28:06Z</dcterms:modified>
  <dc:language>en-US</dc:language>
</cp:coreProperties>
</file>